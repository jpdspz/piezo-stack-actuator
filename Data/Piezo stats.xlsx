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squisa\Piezo stack actuator\Data\"/>
    </mc:Choice>
  </mc:AlternateContent>
  <xr:revisionPtr revIDLastSave="0" documentId="13_ncr:1_{C2C25BB6-5957-41FD-A1BE-2FAD376E097A}" xr6:coauthVersionLast="47" xr6:coauthVersionMax="47" xr10:uidLastSave="{00000000-0000-0000-0000-000000000000}"/>
  <bookViews>
    <workbookView xWindow="-120" yWindow="-120" windowWidth="29040" windowHeight="15720" xr2:uid="{28825E0A-C981-4FF2-8652-165F0953E153}"/>
  </bookViews>
  <sheets>
    <sheet name="Isolated piezo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1" l="1"/>
  <c r="H7" i="1"/>
  <c r="N45" i="1"/>
  <c r="N44" i="1"/>
  <c r="N43" i="1"/>
  <c r="N42" i="1"/>
  <c r="N41" i="1"/>
  <c r="N38" i="1"/>
  <c r="N36" i="1"/>
  <c r="N33" i="1"/>
  <c r="N27" i="1"/>
  <c r="N17" i="1"/>
  <c r="N14" i="1"/>
  <c r="N8" i="1"/>
  <c r="N7" i="1"/>
  <c r="N4" i="1"/>
  <c r="N3" i="1"/>
  <c r="N2" i="1"/>
  <c r="H50" i="1"/>
  <c r="N50" i="1" s="1"/>
  <c r="H51" i="1"/>
  <c r="N51" i="1" s="1"/>
  <c r="H3" i="1"/>
  <c r="H4" i="1"/>
  <c r="H5" i="1"/>
  <c r="N5" i="1" s="1"/>
  <c r="H6" i="1"/>
  <c r="N6" i="1" s="1"/>
  <c r="H8" i="1"/>
  <c r="H9" i="1"/>
  <c r="N9" i="1" s="1"/>
  <c r="H10" i="1"/>
  <c r="N10" i="1" s="1"/>
  <c r="H11" i="1"/>
  <c r="N11" i="1" s="1"/>
  <c r="H12" i="1"/>
  <c r="N12" i="1" s="1"/>
  <c r="H13" i="1"/>
  <c r="N13" i="1" s="1"/>
  <c r="H14" i="1"/>
  <c r="H15" i="1"/>
  <c r="N15" i="1" s="1"/>
  <c r="H16" i="1"/>
  <c r="N16" i="1" s="1"/>
  <c r="H17" i="1"/>
  <c r="H18" i="1"/>
  <c r="N18" i="1" s="1"/>
  <c r="H19" i="1"/>
  <c r="N19" i="1" s="1"/>
  <c r="H20" i="1"/>
  <c r="N20" i="1" s="1"/>
  <c r="H21" i="1"/>
  <c r="N21" i="1" s="1"/>
  <c r="H22" i="1"/>
  <c r="N22" i="1" s="1"/>
  <c r="H23" i="1"/>
  <c r="N23" i="1" s="1"/>
  <c r="H24" i="1"/>
  <c r="N24" i="1" s="1"/>
  <c r="H25" i="1"/>
  <c r="N25" i="1" s="1"/>
  <c r="H26" i="1"/>
  <c r="N26" i="1" s="1"/>
  <c r="H27" i="1"/>
  <c r="H28" i="1"/>
  <c r="N28" i="1" s="1"/>
  <c r="H29" i="1"/>
  <c r="N29" i="1" s="1"/>
  <c r="H30" i="1"/>
  <c r="N30" i="1" s="1"/>
  <c r="H31" i="1"/>
  <c r="N31" i="1" s="1"/>
  <c r="H32" i="1"/>
  <c r="N32" i="1" s="1"/>
  <c r="H33" i="1"/>
  <c r="H34" i="1"/>
  <c r="N34" i="1" s="1"/>
  <c r="H35" i="1"/>
  <c r="N35" i="1" s="1"/>
  <c r="H36" i="1"/>
  <c r="H37" i="1"/>
  <c r="N37" i="1" s="1"/>
  <c r="H38" i="1"/>
  <c r="H39" i="1"/>
  <c r="N39" i="1" s="1"/>
  <c r="H40" i="1"/>
  <c r="N40" i="1" s="1"/>
  <c r="H41" i="1"/>
  <c r="H42" i="1"/>
  <c r="H43" i="1"/>
  <c r="H44" i="1"/>
  <c r="H45" i="1"/>
  <c r="H46" i="1"/>
  <c r="N46" i="1" s="1"/>
  <c r="H47" i="1"/>
  <c r="N47" i="1" s="1"/>
  <c r="H48" i="1"/>
  <c r="N48" i="1" s="1"/>
  <c r="H49" i="1"/>
  <c r="N49" i="1" s="1"/>
  <c r="H2" i="1"/>
  <c r="M4" i="1"/>
  <c r="J4" i="1"/>
  <c r="E4" i="1"/>
  <c r="K52" i="1"/>
  <c r="G52" i="1"/>
  <c r="B52" i="1"/>
  <c r="C52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K53" i="1"/>
  <c r="M2" i="1"/>
  <c r="J2" i="1"/>
  <c r="E2" i="1"/>
  <c r="N52" i="1" l="1"/>
  <c r="H52" i="1"/>
</calcChain>
</file>

<file path=xl/sharedStrings.xml><?xml version="1.0" encoding="utf-8"?>
<sst xmlns="http://schemas.openxmlformats.org/spreadsheetml/2006/main" count="284" uniqueCount="37">
  <si>
    <t>Piezo ID</t>
  </si>
  <si>
    <t>C (ηF)</t>
  </si>
  <si>
    <t>Total</t>
  </si>
  <si>
    <t>d_1 (mm)</t>
  </si>
  <si>
    <t>d_2 (mm)</t>
  </si>
  <si>
    <t>t_1 (mm)</t>
  </si>
  <si>
    <t>t_2 (mm)</t>
  </si>
  <si>
    <t>caliper</t>
  </si>
  <si>
    <t>resol. (mm)</t>
  </si>
  <si>
    <t>meas. with</t>
  </si>
  <si>
    <t>micrometer</t>
  </si>
  <si>
    <t>multimeter</t>
  </si>
  <si>
    <t>resol. (ηF)</t>
  </si>
  <si>
    <t>K</t>
  </si>
  <si>
    <t>Legend</t>
  </si>
  <si>
    <t>d_1</t>
  </si>
  <si>
    <t>Diameter of the brass disk</t>
  </si>
  <si>
    <t>d_2</t>
  </si>
  <si>
    <t>t_1</t>
  </si>
  <si>
    <t>t_3 (mm)</t>
  </si>
  <si>
    <t>t_2</t>
  </si>
  <si>
    <t>t_3</t>
  </si>
  <si>
    <t>C</t>
  </si>
  <si>
    <t>Capacitance of the piezoelectric disk</t>
  </si>
  <si>
    <t>Thickness of the piezoelectric layer</t>
  </si>
  <si>
    <t>Total thickness</t>
  </si>
  <si>
    <t>Thickness of the brass layer</t>
  </si>
  <si>
    <t>Diameter of the piezoelectric ceramic disk</t>
  </si>
  <si>
    <t>Dielectric contant of the piezo ceramic</t>
  </si>
  <si>
    <t>-</t>
  </si>
  <si>
    <t>0bs.</t>
  </si>
  <si>
    <t>Average</t>
  </si>
  <si>
    <t xml:space="preserve"> </t>
  </si>
  <si>
    <t>Stained piezo ceramic</t>
  </si>
  <si>
    <t>Stained piezo ceramic and brass side w/ residual glue from previous assembly</t>
  </si>
  <si>
    <t>Heavily stained piezo ceramic</t>
  </si>
  <si>
    <t>Heavily stained piezo ceramic and brass side w/ residual glue from previous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</si>
</sst>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6FED-89D9-40E8-BF80-536437931C8C}">
  <dimension ref="A1:U53"/>
  <sheetViews>
    <sheetView showGridLines="0" tabSelected="1" zoomScaleNormal="100" workbookViewId="0">
      <pane ySplit="1" topLeftCell="A18" activePane="bottomLeft" state="frozen"/>
      <selection pane="bottomLeft" activeCell="O50" sqref="O50"/>
    </sheetView>
  </sheetViews>
  <sheetFormatPr defaultColWidth="10.7109375" defaultRowHeight="15" x14ac:dyDescent="0.25"/>
  <cols>
    <col min="14" max="15" width="10.7109375" customWidth="1"/>
  </cols>
  <sheetData>
    <row r="1" spans="1:21" x14ac:dyDescent="0.25">
      <c r="A1" s="1" t="s">
        <v>0</v>
      </c>
      <c r="B1" s="1" t="s">
        <v>3</v>
      </c>
      <c r="C1" s="1" t="s">
        <v>4</v>
      </c>
      <c r="D1" s="1" t="s">
        <v>9</v>
      </c>
      <c r="E1" s="1" t="s">
        <v>8</v>
      </c>
      <c r="F1" s="1" t="s">
        <v>5</v>
      </c>
      <c r="G1" s="1" t="s">
        <v>6</v>
      </c>
      <c r="H1" s="1" t="s">
        <v>19</v>
      </c>
      <c r="I1" s="1" t="s">
        <v>9</v>
      </c>
      <c r="J1" s="1" t="s">
        <v>8</v>
      </c>
      <c r="K1" s="1" t="s">
        <v>1</v>
      </c>
      <c r="L1" s="1" t="s">
        <v>9</v>
      </c>
      <c r="M1" s="1" t="s">
        <v>12</v>
      </c>
      <c r="N1" s="1" t="s">
        <v>13</v>
      </c>
      <c r="O1" s="1" t="s">
        <v>30</v>
      </c>
      <c r="Q1" s="6" t="s">
        <v>14</v>
      </c>
      <c r="R1" s="6"/>
      <c r="S1" s="6"/>
      <c r="T1" s="6"/>
      <c r="U1" s="6"/>
    </row>
    <row r="2" spans="1:21" x14ac:dyDescent="0.25">
      <c r="A2" s="1">
        <v>1</v>
      </c>
      <c r="B2" s="1">
        <v>26.95</v>
      </c>
      <c r="C2" s="2">
        <v>18.8</v>
      </c>
      <c r="D2" s="1" t="s">
        <v>7</v>
      </c>
      <c r="E2" s="1">
        <f>IF(D2="caliper",0.05,IF(D2="micrometer",0.001,IF(D2="multimeter",0.1,"-")))</f>
        <v>0.05</v>
      </c>
      <c r="F2" s="7">
        <v>0.32600000000000001</v>
      </c>
      <c r="G2" s="7">
        <v>0.13300000000000001</v>
      </c>
      <c r="H2" s="7">
        <f>IF(F2-G2&gt;0,F2-G2,"")</f>
        <v>0.193</v>
      </c>
      <c r="I2" s="1" t="s">
        <v>10</v>
      </c>
      <c r="J2" s="1">
        <f>IF(I2="caliper",0.05,IF(I2="micrometer",0.001,IF(I2="multimeter",0.1,"-")))</f>
        <v>1E-3</v>
      </c>
      <c r="K2" s="8">
        <v>26.3</v>
      </c>
      <c r="L2" s="1" t="s">
        <v>11</v>
      </c>
      <c r="M2" s="1">
        <f>IF(L2="caliper",0.05,IF(L2="micrometer",0.001,IF(L2="multimeter",0.1,"-")))</f>
        <v>0.1</v>
      </c>
      <c r="N2" s="3">
        <f>IF((8.85*10^(-12)*(PI()*(C2*10^-3)^2/4))&lt;&gt;0,K2*10^-9*H2*10^-3/(8.85*10^(-12)*(PI()*(C2*10^-3)^2/4)),"")</f>
        <v>2066.1612244724379</v>
      </c>
      <c r="O2" s="1" t="s">
        <v>35</v>
      </c>
      <c r="P2" t="s">
        <v>32</v>
      </c>
      <c r="Q2" s="1" t="s">
        <v>15</v>
      </c>
      <c r="R2" s="5" t="s">
        <v>16</v>
      </c>
      <c r="S2" s="5"/>
      <c r="T2" s="5"/>
      <c r="U2" s="5"/>
    </row>
    <row r="3" spans="1:21" x14ac:dyDescent="0.25">
      <c r="A3" s="1">
        <v>2</v>
      </c>
      <c r="B3" s="1">
        <v>26.95</v>
      </c>
      <c r="C3" s="2">
        <v>18.899999999999999</v>
      </c>
      <c r="D3" s="1" t="s">
        <v>7</v>
      </c>
      <c r="E3" s="1">
        <f t="shared" ref="E3:E51" si="0">IF(D3="caliper",0.05,IF(D3="micrometer",0.001,IF(D3="multimeter",0.1,"-")))</f>
        <v>0.05</v>
      </c>
      <c r="F3" s="7">
        <v>0.32700000000000001</v>
      </c>
      <c r="G3" s="7">
        <v>0.13200000000000001</v>
      </c>
      <c r="H3" s="7">
        <f t="shared" ref="H3:H51" si="1">IF(F3-G3&gt;0,F3-G3,"")</f>
        <v>0.19500000000000001</v>
      </c>
      <c r="I3" s="1" t="s">
        <v>10</v>
      </c>
      <c r="J3" s="1">
        <f t="shared" ref="J3:J51" si="2">IF(I3="caliper",0.05,IF(I3="micrometer",0.001,IF(I3="multimeter",0.1,"-")))</f>
        <v>1E-3</v>
      </c>
      <c r="K3" s="8">
        <v>27.3</v>
      </c>
      <c r="L3" s="1" t="s">
        <v>11</v>
      </c>
      <c r="M3" s="1">
        <f t="shared" ref="M3:M51" si="3">IF(L3="caliper",0.05,IF(L3="micrometer",0.001,IF(L3="multimeter",0.1,"-")))</f>
        <v>0.1</v>
      </c>
      <c r="N3" s="3">
        <f t="shared" ref="N3:N52" si="4">IF((8.85*10^(-12)*(PI()*(C3*10^-3)^2/4))&lt;&gt;0,K3*10^-9*H3*10^-3/(8.85*10^(-12)*(PI()*(C3*10^-3)^2/4)),"")</f>
        <v>2144.0775920469769</v>
      </c>
      <c r="O3" s="1" t="s">
        <v>33</v>
      </c>
      <c r="P3" t="s">
        <v>32</v>
      </c>
      <c r="Q3" s="1" t="s">
        <v>17</v>
      </c>
      <c r="R3" s="5" t="s">
        <v>27</v>
      </c>
      <c r="S3" s="5"/>
      <c r="T3" s="5"/>
      <c r="U3" s="5"/>
    </row>
    <row r="4" spans="1:21" x14ac:dyDescent="0.25">
      <c r="A4" s="1">
        <v>3</v>
      </c>
      <c r="B4" s="1">
        <v>26.95</v>
      </c>
      <c r="C4" s="2">
        <v>19.100000000000001</v>
      </c>
      <c r="D4" s="1" t="s">
        <v>7</v>
      </c>
      <c r="E4" s="1">
        <f t="shared" si="0"/>
        <v>0.05</v>
      </c>
      <c r="F4" s="7">
        <v>0.33800000000000002</v>
      </c>
      <c r="G4" s="7">
        <v>0.13700000000000001</v>
      </c>
      <c r="H4" s="7">
        <f t="shared" si="1"/>
        <v>0.20100000000000001</v>
      </c>
      <c r="I4" s="1" t="s">
        <v>10</v>
      </c>
      <c r="J4" s="1">
        <f t="shared" si="2"/>
        <v>1E-3</v>
      </c>
      <c r="K4" s="8">
        <v>28.4</v>
      </c>
      <c r="L4" s="1" t="s">
        <v>11</v>
      </c>
      <c r="M4" s="1">
        <f t="shared" si="3"/>
        <v>0.1</v>
      </c>
      <c r="N4" s="3">
        <f t="shared" si="4"/>
        <v>2251.2022331773983</v>
      </c>
      <c r="O4" s="1" t="s">
        <v>33</v>
      </c>
      <c r="P4" t="s">
        <v>32</v>
      </c>
      <c r="Q4" s="1" t="s">
        <v>18</v>
      </c>
      <c r="R4" s="5" t="s">
        <v>25</v>
      </c>
      <c r="S4" s="5"/>
      <c r="T4" s="5"/>
      <c r="U4" s="5"/>
    </row>
    <row r="5" spans="1:21" x14ac:dyDescent="0.25">
      <c r="A5" s="1">
        <v>4</v>
      </c>
      <c r="B5" s="1">
        <v>26.95</v>
      </c>
      <c r="C5" s="2">
        <v>19</v>
      </c>
      <c r="D5" s="1" t="s">
        <v>7</v>
      </c>
      <c r="E5" s="1">
        <f t="shared" si="0"/>
        <v>0.05</v>
      </c>
      <c r="F5" s="7">
        <v>0.37</v>
      </c>
      <c r="G5" s="7">
        <v>0.155</v>
      </c>
      <c r="H5" s="7">
        <f t="shared" si="1"/>
        <v>0.215</v>
      </c>
      <c r="I5" s="1" t="s">
        <v>10</v>
      </c>
      <c r="J5" s="1">
        <f t="shared" si="2"/>
        <v>1E-3</v>
      </c>
      <c r="K5" s="8">
        <v>23.9</v>
      </c>
      <c r="L5" s="1" t="s">
        <v>11</v>
      </c>
      <c r="M5" s="1">
        <f t="shared" si="3"/>
        <v>0.1</v>
      </c>
      <c r="N5" s="3">
        <f t="shared" si="4"/>
        <v>2047.8399300817364</v>
      </c>
      <c r="O5" s="1" t="s">
        <v>36</v>
      </c>
      <c r="P5" t="s">
        <v>32</v>
      </c>
      <c r="Q5" s="1" t="s">
        <v>20</v>
      </c>
      <c r="R5" s="5" t="s">
        <v>26</v>
      </c>
      <c r="S5" s="5"/>
      <c r="T5" s="5"/>
      <c r="U5" s="5"/>
    </row>
    <row r="6" spans="1:21" x14ac:dyDescent="0.25">
      <c r="A6" s="1">
        <v>5</v>
      </c>
      <c r="B6" s="2">
        <v>26.95</v>
      </c>
      <c r="C6" s="2">
        <v>18.399999999999999</v>
      </c>
      <c r="D6" s="1" t="s">
        <v>7</v>
      </c>
      <c r="E6" s="1">
        <f t="shared" si="0"/>
        <v>0.05</v>
      </c>
      <c r="F6" s="7">
        <v>0.33500000000000002</v>
      </c>
      <c r="G6" s="7">
        <v>0.13100000000000001</v>
      </c>
      <c r="H6" s="7">
        <f t="shared" si="1"/>
        <v>0.20400000000000001</v>
      </c>
      <c r="I6" s="1" t="s">
        <v>10</v>
      </c>
      <c r="J6" s="1">
        <f t="shared" si="2"/>
        <v>1E-3</v>
      </c>
      <c r="K6" s="8">
        <v>22.2</v>
      </c>
      <c r="L6" s="1" t="s">
        <v>11</v>
      </c>
      <c r="M6" s="1">
        <f t="shared" si="3"/>
        <v>0.1</v>
      </c>
      <c r="N6" s="3">
        <f t="shared" si="4"/>
        <v>1924.4841729800814</v>
      </c>
      <c r="O6" s="1" t="s">
        <v>29</v>
      </c>
      <c r="Q6" s="1" t="s">
        <v>21</v>
      </c>
      <c r="R6" s="5" t="s">
        <v>24</v>
      </c>
      <c r="S6" s="5"/>
      <c r="T6" s="5"/>
      <c r="U6" s="5"/>
    </row>
    <row r="7" spans="1:21" x14ac:dyDescent="0.25">
      <c r="A7" s="1">
        <v>6</v>
      </c>
      <c r="B7" s="2">
        <v>26.95</v>
      </c>
      <c r="C7" s="2">
        <v>19</v>
      </c>
      <c r="D7" s="1" t="s">
        <v>7</v>
      </c>
      <c r="E7" s="1">
        <f t="shared" si="0"/>
        <v>0.05</v>
      </c>
      <c r="F7" s="7">
        <v>0.33300000000000002</v>
      </c>
      <c r="G7" s="7">
        <v>0.13500000000000001</v>
      </c>
      <c r="H7" s="7">
        <f t="shared" si="1"/>
        <v>0.19800000000000001</v>
      </c>
      <c r="I7" s="1" t="s">
        <v>10</v>
      </c>
      <c r="J7" s="1">
        <f t="shared" si="2"/>
        <v>1E-3</v>
      </c>
      <c r="K7" s="8">
        <v>26.4</v>
      </c>
      <c r="L7" s="1" t="s">
        <v>11</v>
      </c>
      <c r="M7" s="1">
        <f t="shared" si="3"/>
        <v>0.1</v>
      </c>
      <c r="N7" s="3">
        <f t="shared" si="4"/>
        <v>2083.1894293126888</v>
      </c>
      <c r="O7" s="1" t="s">
        <v>33</v>
      </c>
      <c r="P7" t="s">
        <v>32</v>
      </c>
      <c r="Q7" s="1" t="s">
        <v>22</v>
      </c>
      <c r="R7" s="5" t="s">
        <v>23</v>
      </c>
      <c r="S7" s="5"/>
      <c r="T7" s="5"/>
      <c r="U7" s="5"/>
    </row>
    <row r="8" spans="1:21" x14ac:dyDescent="0.25">
      <c r="A8" s="1">
        <v>7</v>
      </c>
      <c r="B8" s="2">
        <v>26.95</v>
      </c>
      <c r="C8" s="2">
        <v>18.850000000000001</v>
      </c>
      <c r="D8" s="1" t="s">
        <v>7</v>
      </c>
      <c r="E8" s="1">
        <f t="shared" si="0"/>
        <v>0.05</v>
      </c>
      <c r="F8" s="7">
        <v>0.33700000000000002</v>
      </c>
      <c r="G8" s="7">
        <v>0.13500000000000001</v>
      </c>
      <c r="H8" s="7">
        <f t="shared" si="1"/>
        <v>0.20200000000000001</v>
      </c>
      <c r="I8" s="1" t="s">
        <v>10</v>
      </c>
      <c r="J8" s="1">
        <f t="shared" si="2"/>
        <v>1E-3</v>
      </c>
      <c r="K8" s="8">
        <v>21.6</v>
      </c>
      <c r="L8" s="1" t="s">
        <v>11</v>
      </c>
      <c r="M8" s="1">
        <f t="shared" si="3"/>
        <v>0.1</v>
      </c>
      <c r="N8" s="3">
        <f t="shared" si="4"/>
        <v>1766.6448814406685</v>
      </c>
      <c r="O8" s="1" t="s">
        <v>33</v>
      </c>
      <c r="P8" t="s">
        <v>32</v>
      </c>
      <c r="Q8" s="1" t="s">
        <v>13</v>
      </c>
      <c r="R8" s="5" t="s">
        <v>28</v>
      </c>
      <c r="S8" s="5"/>
      <c r="T8" s="5"/>
      <c r="U8" s="5"/>
    </row>
    <row r="9" spans="1:21" x14ac:dyDescent="0.25">
      <c r="A9" s="1">
        <v>8</v>
      </c>
      <c r="B9" s="2">
        <v>26.95</v>
      </c>
      <c r="C9" s="2">
        <v>19</v>
      </c>
      <c r="D9" s="1" t="s">
        <v>7</v>
      </c>
      <c r="E9" s="1">
        <f t="shared" si="0"/>
        <v>0.05</v>
      </c>
      <c r="F9" s="7">
        <v>0.33100000000000002</v>
      </c>
      <c r="G9" s="7">
        <v>0.13400000000000001</v>
      </c>
      <c r="H9" s="7">
        <f t="shared" si="1"/>
        <v>0.19700000000000001</v>
      </c>
      <c r="I9" s="1" t="s">
        <v>10</v>
      </c>
      <c r="J9" s="1">
        <f t="shared" si="2"/>
        <v>1E-3</v>
      </c>
      <c r="K9" s="8">
        <v>27.2</v>
      </c>
      <c r="L9" s="1" t="s">
        <v>11</v>
      </c>
      <c r="M9" s="1">
        <f t="shared" si="3"/>
        <v>0.1</v>
      </c>
      <c r="N9" s="3">
        <f t="shared" si="4"/>
        <v>2135.4763999902652</v>
      </c>
      <c r="O9" s="1" t="s">
        <v>33</v>
      </c>
      <c r="P9" t="s">
        <v>32</v>
      </c>
    </row>
    <row r="10" spans="1:21" x14ac:dyDescent="0.25">
      <c r="A10" s="1">
        <v>9</v>
      </c>
      <c r="B10" s="2">
        <v>26.95</v>
      </c>
      <c r="C10" s="2">
        <v>18.5</v>
      </c>
      <c r="D10" s="1" t="s">
        <v>7</v>
      </c>
      <c r="E10" s="1">
        <f t="shared" si="0"/>
        <v>0.05</v>
      </c>
      <c r="F10" s="7">
        <v>0.35899999999999999</v>
      </c>
      <c r="G10" s="7">
        <v>0.13300000000000001</v>
      </c>
      <c r="H10" s="7">
        <f t="shared" si="1"/>
        <v>0.22599999999999998</v>
      </c>
      <c r="I10" s="1" t="s">
        <v>10</v>
      </c>
      <c r="J10" s="1">
        <f t="shared" si="2"/>
        <v>1E-3</v>
      </c>
      <c r="K10" s="8">
        <v>22.1</v>
      </c>
      <c r="L10" s="1" t="s">
        <v>11</v>
      </c>
      <c r="M10" s="1">
        <f t="shared" si="3"/>
        <v>0.1</v>
      </c>
      <c r="N10" s="3">
        <f t="shared" si="4"/>
        <v>2099.5397622527048</v>
      </c>
      <c r="O10" s="1" t="s">
        <v>33</v>
      </c>
      <c r="P10" t="s">
        <v>32</v>
      </c>
    </row>
    <row r="11" spans="1:21" x14ac:dyDescent="0.25">
      <c r="A11" s="1">
        <v>10</v>
      </c>
      <c r="B11" s="2">
        <v>26.95</v>
      </c>
      <c r="C11" s="2">
        <v>18.899999999999999</v>
      </c>
      <c r="D11" s="1" t="s">
        <v>7</v>
      </c>
      <c r="E11" s="1">
        <f t="shared" si="0"/>
        <v>0.05</v>
      </c>
      <c r="F11" s="7">
        <v>0.32900000000000001</v>
      </c>
      <c r="G11" s="7">
        <v>0.13100000000000001</v>
      </c>
      <c r="H11" s="7">
        <f t="shared" si="1"/>
        <v>0.19800000000000001</v>
      </c>
      <c r="I11" s="1" t="s">
        <v>10</v>
      </c>
      <c r="J11" s="1">
        <f t="shared" si="2"/>
        <v>1E-3</v>
      </c>
      <c r="K11" s="8">
        <v>25.2</v>
      </c>
      <c r="L11" s="1" t="s">
        <v>11</v>
      </c>
      <c r="M11" s="1">
        <f t="shared" si="3"/>
        <v>0.1</v>
      </c>
      <c r="N11" s="3">
        <f t="shared" si="4"/>
        <v>2009.5969856819004</v>
      </c>
      <c r="O11" s="1" t="s">
        <v>35</v>
      </c>
      <c r="P11" t="s">
        <v>32</v>
      </c>
    </row>
    <row r="12" spans="1:21" x14ac:dyDescent="0.25">
      <c r="A12" s="1">
        <v>11</v>
      </c>
      <c r="B12" s="2">
        <v>26.95</v>
      </c>
      <c r="C12" s="2">
        <v>18.850000000000001</v>
      </c>
      <c r="D12" s="1" t="s">
        <v>7</v>
      </c>
      <c r="E12" s="1">
        <f t="shared" si="0"/>
        <v>0.05</v>
      </c>
      <c r="F12" s="7">
        <v>0.33400000000000002</v>
      </c>
      <c r="G12" s="7">
        <v>0.13500000000000001</v>
      </c>
      <c r="H12" s="7">
        <f t="shared" si="1"/>
        <v>0.19900000000000001</v>
      </c>
      <c r="I12" s="1" t="s">
        <v>10</v>
      </c>
      <c r="J12" s="1">
        <f t="shared" si="2"/>
        <v>1E-3</v>
      </c>
      <c r="K12" s="8">
        <v>27.5</v>
      </c>
      <c r="L12" s="1" t="s">
        <v>11</v>
      </c>
      <c r="M12" s="1">
        <f t="shared" si="3"/>
        <v>0.1</v>
      </c>
      <c r="N12" s="3">
        <f t="shared" si="4"/>
        <v>2215.7966890548355</v>
      </c>
      <c r="O12" s="1" t="s">
        <v>33</v>
      </c>
      <c r="P12" t="s">
        <v>32</v>
      </c>
    </row>
    <row r="13" spans="1:21" x14ac:dyDescent="0.25">
      <c r="A13" s="1">
        <v>12</v>
      </c>
      <c r="B13" s="2">
        <v>26.95</v>
      </c>
      <c r="C13" s="2">
        <v>18.95</v>
      </c>
      <c r="D13" s="1" t="s">
        <v>7</v>
      </c>
      <c r="E13" s="1">
        <f t="shared" si="0"/>
        <v>0.05</v>
      </c>
      <c r="F13" s="7">
        <v>0.35399999999999998</v>
      </c>
      <c r="G13" s="7">
        <v>0.155</v>
      </c>
      <c r="H13" s="7">
        <f t="shared" si="1"/>
        <v>0.19899999999999998</v>
      </c>
      <c r="I13" s="1" t="s">
        <v>10</v>
      </c>
      <c r="J13" s="1">
        <f t="shared" si="2"/>
        <v>1E-3</v>
      </c>
      <c r="K13" s="8">
        <v>24.3</v>
      </c>
      <c r="L13" s="1" t="s">
        <v>11</v>
      </c>
      <c r="M13" s="1">
        <f t="shared" si="3"/>
        <v>0.1</v>
      </c>
      <c r="N13" s="3">
        <f t="shared" si="4"/>
        <v>1937.3485825796249</v>
      </c>
      <c r="O13" s="1" t="s">
        <v>34</v>
      </c>
      <c r="P13" t="s">
        <v>32</v>
      </c>
    </row>
    <row r="14" spans="1:21" x14ac:dyDescent="0.25">
      <c r="A14" s="1">
        <v>13</v>
      </c>
      <c r="B14" s="2">
        <v>26.95</v>
      </c>
      <c r="C14" s="2">
        <v>19.100000000000001</v>
      </c>
      <c r="D14" s="1" t="s">
        <v>7</v>
      </c>
      <c r="E14" s="1">
        <f t="shared" si="0"/>
        <v>0.05</v>
      </c>
      <c r="F14" s="7">
        <v>0.33900000000000002</v>
      </c>
      <c r="G14" s="7">
        <v>0.13600000000000001</v>
      </c>
      <c r="H14" s="7">
        <f t="shared" si="1"/>
        <v>0.20300000000000001</v>
      </c>
      <c r="I14" s="1" t="s">
        <v>10</v>
      </c>
      <c r="J14" s="1">
        <f t="shared" si="2"/>
        <v>1E-3</v>
      </c>
      <c r="K14" s="8">
        <v>27.1</v>
      </c>
      <c r="L14" s="1" t="s">
        <v>11</v>
      </c>
      <c r="M14" s="1">
        <f t="shared" si="3"/>
        <v>0.1</v>
      </c>
      <c r="N14" s="3">
        <f t="shared" si="4"/>
        <v>2169.5289127213973</v>
      </c>
      <c r="O14" s="1" t="s">
        <v>29</v>
      </c>
    </row>
    <row r="15" spans="1:21" x14ac:dyDescent="0.25">
      <c r="A15" s="1">
        <v>14</v>
      </c>
      <c r="B15" s="2">
        <v>26.95</v>
      </c>
      <c r="C15" s="2">
        <v>19</v>
      </c>
      <c r="D15" s="1" t="s">
        <v>7</v>
      </c>
      <c r="E15" s="1">
        <f t="shared" si="0"/>
        <v>0.05</v>
      </c>
      <c r="F15" s="7">
        <v>0.32900000000000001</v>
      </c>
      <c r="G15" s="7">
        <v>0.13300000000000001</v>
      </c>
      <c r="H15" s="7">
        <f t="shared" si="1"/>
        <v>0.19600000000000001</v>
      </c>
      <c r="I15" s="1" t="s">
        <v>10</v>
      </c>
      <c r="J15" s="1">
        <f t="shared" si="2"/>
        <v>1E-3</v>
      </c>
      <c r="K15" s="8">
        <v>26.5</v>
      </c>
      <c r="L15" s="1" t="s">
        <v>11</v>
      </c>
      <c r="M15" s="1">
        <f t="shared" si="3"/>
        <v>0.1</v>
      </c>
      <c r="N15" s="3">
        <f t="shared" si="4"/>
        <v>2069.9582751473272</v>
      </c>
      <c r="O15" s="1" t="s">
        <v>29</v>
      </c>
    </row>
    <row r="16" spans="1:21" x14ac:dyDescent="0.25">
      <c r="A16" s="1">
        <v>15</v>
      </c>
      <c r="B16" s="2">
        <v>26.95</v>
      </c>
      <c r="C16" s="2">
        <v>19.100000000000001</v>
      </c>
      <c r="D16" s="1" t="s">
        <v>7</v>
      </c>
      <c r="E16" s="1">
        <f t="shared" si="0"/>
        <v>0.05</v>
      </c>
      <c r="F16" s="7">
        <v>0.33200000000000002</v>
      </c>
      <c r="G16" s="7">
        <v>0.13700000000000001</v>
      </c>
      <c r="H16" s="7">
        <f t="shared" si="1"/>
        <v>0.19500000000000001</v>
      </c>
      <c r="I16" s="1" t="s">
        <v>10</v>
      </c>
      <c r="J16" s="1">
        <f t="shared" si="2"/>
        <v>1E-3</v>
      </c>
      <c r="K16" s="8">
        <v>26.9</v>
      </c>
      <c r="L16" s="1" t="s">
        <v>11</v>
      </c>
      <c r="M16" s="1">
        <f t="shared" si="3"/>
        <v>0.1</v>
      </c>
      <c r="N16" s="3">
        <f t="shared" si="4"/>
        <v>2068.6499394107004</v>
      </c>
      <c r="O16" s="1" t="s">
        <v>29</v>
      </c>
    </row>
    <row r="17" spans="1:16" x14ac:dyDescent="0.25">
      <c r="A17" s="1">
        <v>16</v>
      </c>
      <c r="B17" s="2">
        <v>26.95</v>
      </c>
      <c r="C17" s="2">
        <v>19.05</v>
      </c>
      <c r="D17" s="1" t="s">
        <v>7</v>
      </c>
      <c r="E17" s="1">
        <f t="shared" si="0"/>
        <v>0.05</v>
      </c>
      <c r="F17" s="7">
        <v>0.33200000000000002</v>
      </c>
      <c r="G17" s="7">
        <v>0.128</v>
      </c>
      <c r="H17" s="7">
        <f t="shared" si="1"/>
        <v>0.20400000000000001</v>
      </c>
      <c r="I17" s="1" t="s">
        <v>10</v>
      </c>
      <c r="J17" s="1">
        <f t="shared" si="2"/>
        <v>1E-3</v>
      </c>
      <c r="K17" s="8">
        <v>25.5</v>
      </c>
      <c r="L17" s="1" t="s">
        <v>11</v>
      </c>
      <c r="M17" s="1">
        <f t="shared" si="3"/>
        <v>0.1</v>
      </c>
      <c r="N17" s="3">
        <f t="shared" si="4"/>
        <v>2062.2781279519304</v>
      </c>
      <c r="O17" s="1" t="s">
        <v>29</v>
      </c>
    </row>
    <row r="18" spans="1:16" x14ac:dyDescent="0.25">
      <c r="A18" s="1">
        <v>17</v>
      </c>
      <c r="B18" s="2">
        <v>26.95</v>
      </c>
      <c r="C18" s="2">
        <v>19.100000000000001</v>
      </c>
      <c r="D18" s="1" t="s">
        <v>7</v>
      </c>
      <c r="E18" s="1">
        <f t="shared" si="0"/>
        <v>0.05</v>
      </c>
      <c r="F18" s="7">
        <v>0.32700000000000001</v>
      </c>
      <c r="G18" s="7">
        <v>0.128</v>
      </c>
      <c r="H18" s="7">
        <f t="shared" si="1"/>
        <v>0.19900000000000001</v>
      </c>
      <c r="I18" s="1" t="s">
        <v>10</v>
      </c>
      <c r="J18" s="1">
        <f t="shared" si="2"/>
        <v>1E-3</v>
      </c>
      <c r="K18" s="8">
        <v>28.3</v>
      </c>
      <c r="L18" s="1" t="s">
        <v>11</v>
      </c>
      <c r="M18" s="1">
        <f t="shared" si="3"/>
        <v>0.1</v>
      </c>
      <c r="N18" s="3">
        <f t="shared" si="4"/>
        <v>2220.9543158477254</v>
      </c>
      <c r="O18" s="1" t="s">
        <v>33</v>
      </c>
      <c r="P18" t="s">
        <v>32</v>
      </c>
    </row>
    <row r="19" spans="1:16" x14ac:dyDescent="0.25">
      <c r="A19" s="1">
        <v>18</v>
      </c>
      <c r="B19" s="2">
        <v>26.95</v>
      </c>
      <c r="C19" s="2">
        <v>19.2</v>
      </c>
      <c r="D19" s="1" t="s">
        <v>7</v>
      </c>
      <c r="E19" s="1">
        <f t="shared" si="0"/>
        <v>0.05</v>
      </c>
      <c r="F19" s="7">
        <v>0.33</v>
      </c>
      <c r="G19" s="7">
        <v>0.13100000000000001</v>
      </c>
      <c r="H19" s="7">
        <f t="shared" si="1"/>
        <v>0.19900000000000001</v>
      </c>
      <c r="I19" s="1" t="s">
        <v>10</v>
      </c>
      <c r="J19" s="1">
        <f t="shared" si="2"/>
        <v>1E-3</v>
      </c>
      <c r="K19" s="8">
        <v>26.7</v>
      </c>
      <c r="L19" s="1" t="s">
        <v>11</v>
      </c>
      <c r="M19" s="1">
        <f t="shared" si="3"/>
        <v>0.1</v>
      </c>
      <c r="N19" s="3">
        <f t="shared" si="4"/>
        <v>2073.6178768689383</v>
      </c>
      <c r="O19" s="1" t="s">
        <v>29</v>
      </c>
    </row>
    <row r="20" spans="1:16" x14ac:dyDescent="0.25">
      <c r="A20" s="1">
        <v>19</v>
      </c>
      <c r="B20" s="2">
        <v>26.95</v>
      </c>
      <c r="C20" s="2">
        <v>18.8</v>
      </c>
      <c r="D20" s="1" t="s">
        <v>7</v>
      </c>
      <c r="E20" s="1">
        <f t="shared" si="0"/>
        <v>0.05</v>
      </c>
      <c r="F20" s="7">
        <v>0.34</v>
      </c>
      <c r="G20" s="7">
        <v>0.13</v>
      </c>
      <c r="H20" s="7">
        <f t="shared" si="1"/>
        <v>0.21000000000000002</v>
      </c>
      <c r="I20" s="1" t="s">
        <v>10</v>
      </c>
      <c r="J20" s="1">
        <f t="shared" si="2"/>
        <v>1E-3</v>
      </c>
      <c r="K20" s="8">
        <v>21.8</v>
      </c>
      <c r="L20" s="1" t="s">
        <v>11</v>
      </c>
      <c r="M20" s="1">
        <f t="shared" si="3"/>
        <v>0.1</v>
      </c>
      <c r="N20" s="3">
        <f t="shared" si="4"/>
        <v>1863.4894473166971</v>
      </c>
      <c r="O20" s="1" t="s">
        <v>33</v>
      </c>
      <c r="P20" t="s">
        <v>32</v>
      </c>
    </row>
    <row r="21" spans="1:16" x14ac:dyDescent="0.25">
      <c r="A21" s="1">
        <v>20</v>
      </c>
      <c r="B21" s="2">
        <v>26.95</v>
      </c>
      <c r="C21" s="2">
        <v>18.75</v>
      </c>
      <c r="D21" s="1" t="s">
        <v>7</v>
      </c>
      <c r="E21" s="1">
        <f t="shared" si="0"/>
        <v>0.05</v>
      </c>
      <c r="F21" s="7">
        <v>0.34200000000000003</v>
      </c>
      <c r="G21" s="7">
        <v>0.13400000000000001</v>
      </c>
      <c r="H21" s="7">
        <f t="shared" si="1"/>
        <v>0.20800000000000002</v>
      </c>
      <c r="I21" s="1" t="s">
        <v>10</v>
      </c>
      <c r="J21" s="1">
        <f t="shared" si="2"/>
        <v>1E-3</v>
      </c>
      <c r="K21" s="8">
        <v>21.3</v>
      </c>
      <c r="L21" s="1" t="s">
        <v>11</v>
      </c>
      <c r="M21" s="1">
        <f t="shared" si="3"/>
        <v>0.1</v>
      </c>
      <c r="N21" s="3">
        <f t="shared" si="4"/>
        <v>1813.0394006561642</v>
      </c>
      <c r="O21" s="1" t="s">
        <v>33</v>
      </c>
      <c r="P21" t="s">
        <v>32</v>
      </c>
    </row>
    <row r="22" spans="1:16" x14ac:dyDescent="0.25">
      <c r="A22" s="1">
        <v>21</v>
      </c>
      <c r="B22" s="2">
        <v>26.95</v>
      </c>
      <c r="C22" s="2">
        <v>19.2</v>
      </c>
      <c r="D22" s="1" t="s">
        <v>7</v>
      </c>
      <c r="E22" s="1">
        <f t="shared" si="0"/>
        <v>0.05</v>
      </c>
      <c r="F22" s="7">
        <v>0.32800000000000001</v>
      </c>
      <c r="G22" s="7">
        <v>0.13100000000000001</v>
      </c>
      <c r="H22" s="7">
        <f t="shared" si="1"/>
        <v>0.19700000000000001</v>
      </c>
      <c r="I22" s="1" t="s">
        <v>10</v>
      </c>
      <c r="J22" s="1">
        <f t="shared" si="2"/>
        <v>1E-3</v>
      </c>
      <c r="K22" s="8">
        <v>27.6</v>
      </c>
      <c r="L22" s="1" t="s">
        <v>11</v>
      </c>
      <c r="M22" s="1">
        <f t="shared" si="3"/>
        <v>0.1</v>
      </c>
      <c r="N22" s="3">
        <f t="shared" si="4"/>
        <v>2121.972243259705</v>
      </c>
      <c r="O22" s="1" t="s">
        <v>29</v>
      </c>
    </row>
    <row r="23" spans="1:16" x14ac:dyDescent="0.25">
      <c r="A23" s="1">
        <v>22</v>
      </c>
      <c r="B23" s="2">
        <v>26.95</v>
      </c>
      <c r="C23" s="2">
        <v>18.8</v>
      </c>
      <c r="D23" s="1" t="s">
        <v>7</v>
      </c>
      <c r="E23" s="1">
        <f t="shared" si="0"/>
        <v>0.05</v>
      </c>
      <c r="F23" s="7">
        <v>0.33300000000000002</v>
      </c>
      <c r="G23" s="7">
        <v>0.13200000000000001</v>
      </c>
      <c r="H23" s="7">
        <f t="shared" si="1"/>
        <v>0.20100000000000001</v>
      </c>
      <c r="I23" s="1" t="s">
        <v>10</v>
      </c>
      <c r="J23" s="1">
        <f t="shared" si="2"/>
        <v>1E-3</v>
      </c>
      <c r="K23" s="8">
        <v>23.8</v>
      </c>
      <c r="L23" s="1" t="s">
        <v>11</v>
      </c>
      <c r="M23" s="1">
        <f t="shared" si="3"/>
        <v>0.1</v>
      </c>
      <c r="N23" s="3">
        <f t="shared" si="4"/>
        <v>1947.2609912786399</v>
      </c>
      <c r="O23" s="1" t="s">
        <v>33</v>
      </c>
      <c r="P23" t="s">
        <v>32</v>
      </c>
    </row>
    <row r="24" spans="1:16" x14ac:dyDescent="0.25">
      <c r="A24" s="1">
        <v>23</v>
      </c>
      <c r="B24" s="2">
        <v>26.95</v>
      </c>
      <c r="C24" s="2">
        <v>18.850000000000001</v>
      </c>
      <c r="D24" s="1" t="s">
        <v>7</v>
      </c>
      <c r="E24" s="1">
        <f t="shared" si="0"/>
        <v>0.05</v>
      </c>
      <c r="F24" s="7">
        <v>0.32400000000000001</v>
      </c>
      <c r="G24" s="7">
        <v>0.13100000000000001</v>
      </c>
      <c r="H24" s="7">
        <f t="shared" si="1"/>
        <v>0.193</v>
      </c>
      <c r="I24" s="1" t="s">
        <v>10</v>
      </c>
      <c r="J24" s="1">
        <f t="shared" si="2"/>
        <v>1E-3</v>
      </c>
      <c r="K24" s="8">
        <v>24.9</v>
      </c>
      <c r="L24" s="1" t="s">
        <v>11</v>
      </c>
      <c r="M24" s="1">
        <f t="shared" si="3"/>
        <v>0.1</v>
      </c>
      <c r="N24" s="3">
        <f t="shared" si="4"/>
        <v>1945.8116306241795</v>
      </c>
      <c r="O24" s="1" t="s">
        <v>29</v>
      </c>
    </row>
    <row r="25" spans="1:16" x14ac:dyDescent="0.25">
      <c r="A25" s="1">
        <v>24</v>
      </c>
      <c r="B25" s="2">
        <v>26.95</v>
      </c>
      <c r="C25" s="2">
        <v>19</v>
      </c>
      <c r="D25" s="1" t="s">
        <v>7</v>
      </c>
      <c r="E25" s="1">
        <f t="shared" si="0"/>
        <v>0.05</v>
      </c>
      <c r="F25" s="7">
        <v>0.33100000000000002</v>
      </c>
      <c r="G25" s="7">
        <v>0.13200000000000001</v>
      </c>
      <c r="H25" s="7">
        <f t="shared" si="1"/>
        <v>0.19900000000000001</v>
      </c>
      <c r="I25" s="1" t="s">
        <v>10</v>
      </c>
      <c r="J25" s="1">
        <f t="shared" si="2"/>
        <v>1E-3</v>
      </c>
      <c r="K25" s="8">
        <v>26.6</v>
      </c>
      <c r="L25" s="1" t="s">
        <v>11</v>
      </c>
      <c r="M25" s="1">
        <f t="shared" si="3"/>
        <v>0.1</v>
      </c>
      <c r="N25" s="3">
        <f t="shared" si="4"/>
        <v>2109.5720318954295</v>
      </c>
      <c r="O25" s="1" t="s">
        <v>33</v>
      </c>
      <c r="P25" t="s">
        <v>32</v>
      </c>
    </row>
    <row r="26" spans="1:16" x14ac:dyDescent="0.25">
      <c r="A26" s="1">
        <v>25</v>
      </c>
      <c r="B26" s="2">
        <v>26.95</v>
      </c>
      <c r="C26" s="2">
        <v>18.7</v>
      </c>
      <c r="D26" s="1" t="s">
        <v>7</v>
      </c>
      <c r="E26" s="1">
        <f t="shared" si="0"/>
        <v>0.05</v>
      </c>
      <c r="F26" s="7">
        <v>0.33900000000000002</v>
      </c>
      <c r="G26" s="7">
        <v>0.13200000000000001</v>
      </c>
      <c r="H26" s="7">
        <f t="shared" si="1"/>
        <v>0.20700000000000002</v>
      </c>
      <c r="I26" s="1" t="s">
        <v>10</v>
      </c>
      <c r="J26" s="1">
        <f t="shared" si="2"/>
        <v>1E-3</v>
      </c>
      <c r="K26" s="8">
        <v>23.5</v>
      </c>
      <c r="L26" s="1" t="s">
        <v>11</v>
      </c>
      <c r="M26" s="1">
        <f t="shared" si="3"/>
        <v>0.1</v>
      </c>
      <c r="N26" s="3">
        <f t="shared" si="4"/>
        <v>2001.3444564585939</v>
      </c>
      <c r="O26" s="1" t="s">
        <v>29</v>
      </c>
    </row>
    <row r="27" spans="1:16" x14ac:dyDescent="0.25">
      <c r="A27" s="1">
        <v>26</v>
      </c>
      <c r="B27" s="2">
        <v>26.95</v>
      </c>
      <c r="C27" s="2">
        <v>19.100000000000001</v>
      </c>
      <c r="D27" s="1" t="s">
        <v>7</v>
      </c>
      <c r="E27" s="1">
        <f t="shared" si="0"/>
        <v>0.05</v>
      </c>
      <c r="F27" s="7">
        <v>0.33300000000000002</v>
      </c>
      <c r="G27" s="7">
        <v>0.13200000000000001</v>
      </c>
      <c r="H27" s="7">
        <f t="shared" si="1"/>
        <v>0.20100000000000001</v>
      </c>
      <c r="I27" s="1" t="s">
        <v>10</v>
      </c>
      <c r="J27" s="1">
        <f t="shared" si="2"/>
        <v>1E-3</v>
      </c>
      <c r="K27" s="8">
        <v>26.5</v>
      </c>
      <c r="L27" s="1" t="s">
        <v>11</v>
      </c>
      <c r="M27" s="1">
        <f t="shared" si="3"/>
        <v>0.1</v>
      </c>
      <c r="N27" s="3">
        <f t="shared" si="4"/>
        <v>2100.5936330704599</v>
      </c>
      <c r="O27" s="1" t="s">
        <v>29</v>
      </c>
    </row>
    <row r="28" spans="1:16" x14ac:dyDescent="0.25">
      <c r="A28" s="1">
        <v>27</v>
      </c>
      <c r="B28" s="2">
        <v>26.95</v>
      </c>
      <c r="C28" s="2">
        <v>19</v>
      </c>
      <c r="D28" s="1" t="s">
        <v>7</v>
      </c>
      <c r="E28" s="1">
        <f t="shared" si="0"/>
        <v>0.05</v>
      </c>
      <c r="F28" s="7">
        <v>0.33400000000000002</v>
      </c>
      <c r="G28" s="7">
        <v>0.13400000000000001</v>
      </c>
      <c r="H28" s="7">
        <f t="shared" si="1"/>
        <v>0.2</v>
      </c>
      <c r="I28" s="1" t="s">
        <v>10</v>
      </c>
      <c r="J28" s="1">
        <f t="shared" si="2"/>
        <v>1E-3</v>
      </c>
      <c r="K28" s="8">
        <v>26.5</v>
      </c>
      <c r="L28" s="1" t="s">
        <v>11</v>
      </c>
      <c r="M28" s="1">
        <f t="shared" si="3"/>
        <v>0.1</v>
      </c>
      <c r="N28" s="3">
        <f t="shared" si="4"/>
        <v>2112.2023215789054</v>
      </c>
      <c r="O28" s="1" t="s">
        <v>29</v>
      </c>
    </row>
    <row r="29" spans="1:16" x14ac:dyDescent="0.25">
      <c r="A29" s="1">
        <v>28</v>
      </c>
      <c r="B29" s="2">
        <v>26.95</v>
      </c>
      <c r="C29" s="2">
        <v>18.55</v>
      </c>
      <c r="D29" s="1" t="s">
        <v>7</v>
      </c>
      <c r="E29" s="1">
        <f t="shared" si="0"/>
        <v>0.05</v>
      </c>
      <c r="F29" s="7">
        <v>0.34</v>
      </c>
      <c r="G29" s="7">
        <v>0.13</v>
      </c>
      <c r="H29" s="7">
        <f t="shared" si="1"/>
        <v>0.21000000000000002</v>
      </c>
      <c r="I29" s="1" t="s">
        <v>10</v>
      </c>
      <c r="J29" s="1">
        <f t="shared" si="2"/>
        <v>1E-3</v>
      </c>
      <c r="K29" s="8">
        <v>21.4</v>
      </c>
      <c r="L29" s="1" t="s">
        <v>11</v>
      </c>
      <c r="M29" s="1">
        <f t="shared" si="3"/>
        <v>0.1</v>
      </c>
      <c r="N29" s="3">
        <f t="shared" si="4"/>
        <v>1878.9364353652256</v>
      </c>
      <c r="O29" s="1" t="s">
        <v>29</v>
      </c>
    </row>
    <row r="30" spans="1:16" x14ac:dyDescent="0.25">
      <c r="A30" s="1">
        <v>29</v>
      </c>
      <c r="B30" s="2">
        <v>26.95</v>
      </c>
      <c r="C30" s="2">
        <v>19.100000000000001</v>
      </c>
      <c r="D30" s="1" t="s">
        <v>7</v>
      </c>
      <c r="E30" s="1">
        <f t="shared" si="0"/>
        <v>0.05</v>
      </c>
      <c r="F30" s="7">
        <v>0.33200000000000002</v>
      </c>
      <c r="G30" s="7">
        <v>0.13100000000000001</v>
      </c>
      <c r="H30" s="7">
        <f t="shared" si="1"/>
        <v>0.20100000000000001</v>
      </c>
      <c r="I30" s="1" t="s">
        <v>10</v>
      </c>
      <c r="J30" s="1">
        <f t="shared" si="2"/>
        <v>1E-3</v>
      </c>
      <c r="K30" s="8">
        <v>28</v>
      </c>
      <c r="L30" s="1" t="s">
        <v>11</v>
      </c>
      <c r="M30" s="1">
        <f t="shared" si="3"/>
        <v>0.1</v>
      </c>
      <c r="N30" s="3">
        <f t="shared" si="4"/>
        <v>2219.4951594706749</v>
      </c>
      <c r="O30" s="1" t="s">
        <v>29</v>
      </c>
    </row>
    <row r="31" spans="1:16" x14ac:dyDescent="0.25">
      <c r="A31" s="1">
        <v>30</v>
      </c>
      <c r="B31" s="2">
        <v>26.95</v>
      </c>
      <c r="C31" s="2">
        <v>18.649999999999999</v>
      </c>
      <c r="D31" s="1" t="s">
        <v>7</v>
      </c>
      <c r="E31" s="1">
        <f t="shared" si="0"/>
        <v>0.05</v>
      </c>
      <c r="F31" s="7">
        <v>0.33400000000000002</v>
      </c>
      <c r="G31" s="7">
        <v>0.13</v>
      </c>
      <c r="H31" s="7">
        <f t="shared" si="1"/>
        <v>0.20400000000000001</v>
      </c>
      <c r="I31" s="1" t="s">
        <v>10</v>
      </c>
      <c r="J31" s="1">
        <f t="shared" si="2"/>
        <v>1E-3</v>
      </c>
      <c r="K31" s="8">
        <v>23</v>
      </c>
      <c r="L31" s="1" t="s">
        <v>11</v>
      </c>
      <c r="M31" s="1">
        <f t="shared" si="3"/>
        <v>0.1</v>
      </c>
      <c r="N31" s="3">
        <f t="shared" si="4"/>
        <v>1940.7392046871705</v>
      </c>
      <c r="O31" s="1" t="s">
        <v>33</v>
      </c>
      <c r="P31" t="s">
        <v>32</v>
      </c>
    </row>
    <row r="32" spans="1:16" x14ac:dyDescent="0.25">
      <c r="A32" s="1">
        <v>31</v>
      </c>
      <c r="B32" s="2">
        <v>26.95</v>
      </c>
      <c r="C32" s="2">
        <v>18.899999999999999</v>
      </c>
      <c r="D32" s="1" t="s">
        <v>7</v>
      </c>
      <c r="E32" s="1">
        <f t="shared" si="0"/>
        <v>0.05</v>
      </c>
      <c r="F32" s="7">
        <v>0.32</v>
      </c>
      <c r="G32" s="7">
        <v>0.126</v>
      </c>
      <c r="H32" s="7">
        <f t="shared" si="1"/>
        <v>0.19400000000000001</v>
      </c>
      <c r="I32" s="1" t="s">
        <v>10</v>
      </c>
      <c r="J32" s="1">
        <f t="shared" si="2"/>
        <v>1E-3</v>
      </c>
      <c r="K32" s="8">
        <v>25.7</v>
      </c>
      <c r="L32" s="1" t="s">
        <v>11</v>
      </c>
      <c r="M32" s="1">
        <f t="shared" si="3"/>
        <v>0.1</v>
      </c>
      <c r="N32" s="3">
        <f t="shared" si="4"/>
        <v>2008.066508580411</v>
      </c>
      <c r="O32" s="1" t="s">
        <v>29</v>
      </c>
    </row>
    <row r="33" spans="1:16" x14ac:dyDescent="0.25">
      <c r="A33" s="1">
        <v>32</v>
      </c>
      <c r="B33" s="2">
        <v>26.95</v>
      </c>
      <c r="C33" s="2">
        <v>18.899999999999999</v>
      </c>
      <c r="D33" s="1" t="s">
        <v>7</v>
      </c>
      <c r="E33" s="1">
        <f t="shared" si="0"/>
        <v>0.05</v>
      </c>
      <c r="F33" s="7">
        <v>0.32700000000000001</v>
      </c>
      <c r="G33" s="7">
        <v>0.13100000000000001</v>
      </c>
      <c r="H33" s="7">
        <f t="shared" si="1"/>
        <v>0.19600000000000001</v>
      </c>
      <c r="I33" s="1" t="s">
        <v>10</v>
      </c>
      <c r="J33" s="1">
        <f t="shared" si="2"/>
        <v>1E-3</v>
      </c>
      <c r="K33" s="8">
        <v>26.8</v>
      </c>
      <c r="L33" s="1" t="s">
        <v>11</v>
      </c>
      <c r="M33" s="1">
        <f t="shared" si="3"/>
        <v>0.1</v>
      </c>
      <c r="N33" s="3">
        <f t="shared" si="4"/>
        <v>2115.602662816636</v>
      </c>
      <c r="O33" s="1" t="s">
        <v>33</v>
      </c>
      <c r="P33" t="s">
        <v>32</v>
      </c>
    </row>
    <row r="34" spans="1:16" x14ac:dyDescent="0.25">
      <c r="A34" s="1">
        <v>33</v>
      </c>
      <c r="B34" s="2">
        <v>26.95</v>
      </c>
      <c r="C34" s="2">
        <v>18.7</v>
      </c>
      <c r="D34" s="1" t="s">
        <v>7</v>
      </c>
      <c r="E34" s="1">
        <f t="shared" si="0"/>
        <v>0.05</v>
      </c>
      <c r="F34" s="7">
        <v>0.33700000000000002</v>
      </c>
      <c r="G34" s="7">
        <v>0.13400000000000001</v>
      </c>
      <c r="H34" s="7">
        <f t="shared" si="1"/>
        <v>0.20300000000000001</v>
      </c>
      <c r="I34" s="1" t="s">
        <v>10</v>
      </c>
      <c r="J34" s="1">
        <f t="shared" si="2"/>
        <v>1E-3</v>
      </c>
      <c r="K34" s="8">
        <v>25.2</v>
      </c>
      <c r="L34" s="1" t="s">
        <v>11</v>
      </c>
      <c r="M34" s="1">
        <f t="shared" si="3"/>
        <v>0.1</v>
      </c>
      <c r="N34" s="3">
        <f t="shared" si="4"/>
        <v>2104.6515986143654</v>
      </c>
      <c r="O34" s="1" t="s">
        <v>29</v>
      </c>
    </row>
    <row r="35" spans="1:16" x14ac:dyDescent="0.25">
      <c r="A35" s="1">
        <v>34</v>
      </c>
      <c r="B35" s="2">
        <v>26.95</v>
      </c>
      <c r="C35" s="2">
        <v>19</v>
      </c>
      <c r="D35" s="1" t="s">
        <v>7</v>
      </c>
      <c r="E35" s="1">
        <f t="shared" si="0"/>
        <v>0.05</v>
      </c>
      <c r="F35" s="7">
        <v>0.32700000000000001</v>
      </c>
      <c r="G35" s="7">
        <v>0.127</v>
      </c>
      <c r="H35" s="7">
        <f t="shared" si="1"/>
        <v>0.2</v>
      </c>
      <c r="I35" s="1" t="s">
        <v>10</v>
      </c>
      <c r="J35" s="1">
        <f t="shared" si="2"/>
        <v>1E-3</v>
      </c>
      <c r="K35" s="8">
        <v>26.1</v>
      </c>
      <c r="L35" s="1" t="s">
        <v>11</v>
      </c>
      <c r="M35" s="1">
        <f t="shared" si="3"/>
        <v>0.1</v>
      </c>
      <c r="N35" s="3">
        <f t="shared" si="4"/>
        <v>2080.3200223852614</v>
      </c>
      <c r="O35" s="1" t="s">
        <v>33</v>
      </c>
      <c r="P35" t="s">
        <v>32</v>
      </c>
    </row>
    <row r="36" spans="1:16" x14ac:dyDescent="0.25">
      <c r="A36" s="1">
        <v>35</v>
      </c>
      <c r="B36" s="2">
        <v>26.95</v>
      </c>
      <c r="C36" s="2">
        <v>18.75</v>
      </c>
      <c r="D36" s="1" t="s">
        <v>7</v>
      </c>
      <c r="E36" s="1">
        <f t="shared" si="0"/>
        <v>0.05</v>
      </c>
      <c r="F36" s="7">
        <v>0.33800000000000002</v>
      </c>
      <c r="G36" s="7">
        <v>0.13100000000000001</v>
      </c>
      <c r="H36" s="7">
        <f t="shared" si="1"/>
        <v>0.20700000000000002</v>
      </c>
      <c r="I36" s="1" t="s">
        <v>10</v>
      </c>
      <c r="J36" s="1">
        <f t="shared" si="2"/>
        <v>1E-3</v>
      </c>
      <c r="K36" s="8">
        <v>23.9</v>
      </c>
      <c r="L36" s="1" t="s">
        <v>11</v>
      </c>
      <c r="M36" s="1">
        <f t="shared" si="3"/>
        <v>0.1</v>
      </c>
      <c r="N36" s="3">
        <f t="shared" si="4"/>
        <v>2024.5688486065003</v>
      </c>
      <c r="O36" s="1" t="s">
        <v>33</v>
      </c>
      <c r="P36" t="s">
        <v>32</v>
      </c>
    </row>
    <row r="37" spans="1:16" x14ac:dyDescent="0.25">
      <c r="A37" s="1">
        <v>36</v>
      </c>
      <c r="B37" s="2">
        <v>26.95</v>
      </c>
      <c r="C37" s="2">
        <v>18.45</v>
      </c>
      <c r="D37" s="1" t="s">
        <v>7</v>
      </c>
      <c r="E37" s="1">
        <f t="shared" si="0"/>
        <v>0.05</v>
      </c>
      <c r="F37" s="7">
        <v>0.33900000000000002</v>
      </c>
      <c r="G37" s="7">
        <v>0.13200000000000001</v>
      </c>
      <c r="H37" s="7">
        <f t="shared" si="1"/>
        <v>0.20700000000000002</v>
      </c>
      <c r="I37" s="1" t="s">
        <v>10</v>
      </c>
      <c r="J37" s="1">
        <f t="shared" si="2"/>
        <v>1E-3</v>
      </c>
      <c r="K37" s="8">
        <v>21</v>
      </c>
      <c r="L37" s="1" t="s">
        <v>11</v>
      </c>
      <c r="M37" s="1">
        <f t="shared" si="3"/>
        <v>0.1</v>
      </c>
      <c r="N37" s="3">
        <f t="shared" si="4"/>
        <v>1837.2309254746915</v>
      </c>
      <c r="O37" s="1" t="s">
        <v>33</v>
      </c>
      <c r="P37" t="s">
        <v>32</v>
      </c>
    </row>
    <row r="38" spans="1:16" x14ac:dyDescent="0.25">
      <c r="A38" s="1">
        <v>37</v>
      </c>
      <c r="B38" s="2">
        <v>26.95</v>
      </c>
      <c r="C38" s="2">
        <v>19.100000000000001</v>
      </c>
      <c r="D38" s="1" t="s">
        <v>7</v>
      </c>
      <c r="E38" s="1">
        <f t="shared" si="0"/>
        <v>0.05</v>
      </c>
      <c r="F38" s="7">
        <v>0.33300000000000002</v>
      </c>
      <c r="G38" s="7">
        <v>0.13300000000000001</v>
      </c>
      <c r="H38" s="7">
        <f t="shared" si="1"/>
        <v>0.2</v>
      </c>
      <c r="I38" s="1" t="s">
        <v>10</v>
      </c>
      <c r="J38" s="1">
        <f t="shared" si="2"/>
        <v>1E-3</v>
      </c>
      <c r="K38" s="8">
        <v>27.1</v>
      </c>
      <c r="L38" s="1" t="s">
        <v>11</v>
      </c>
      <c r="M38" s="1">
        <f t="shared" si="3"/>
        <v>0.1</v>
      </c>
      <c r="N38" s="3">
        <f t="shared" si="4"/>
        <v>2137.4669090851207</v>
      </c>
      <c r="O38" s="1" t="s">
        <v>33</v>
      </c>
      <c r="P38" t="s">
        <v>32</v>
      </c>
    </row>
    <row r="39" spans="1:16" x14ac:dyDescent="0.25">
      <c r="A39" s="1">
        <v>38</v>
      </c>
      <c r="B39" s="2">
        <v>27</v>
      </c>
      <c r="C39" s="2">
        <v>19.100000000000001</v>
      </c>
      <c r="D39" s="1" t="s">
        <v>7</v>
      </c>
      <c r="E39" s="1">
        <f t="shared" si="0"/>
        <v>0.05</v>
      </c>
      <c r="F39" s="7">
        <v>0.33</v>
      </c>
      <c r="G39" s="7">
        <v>0.128</v>
      </c>
      <c r="H39" s="7">
        <f t="shared" si="1"/>
        <v>0.20200000000000001</v>
      </c>
      <c r="I39" s="1" t="s">
        <v>10</v>
      </c>
      <c r="J39" s="1">
        <f t="shared" si="2"/>
        <v>1E-3</v>
      </c>
      <c r="K39" s="8">
        <v>27.2</v>
      </c>
      <c r="L39" s="1" t="s">
        <v>11</v>
      </c>
      <c r="M39" s="1">
        <f t="shared" si="3"/>
        <v>0.1</v>
      </c>
      <c r="N39" s="3">
        <f t="shared" si="4"/>
        <v>2166.8077832614917</v>
      </c>
      <c r="O39" s="1" t="s">
        <v>33</v>
      </c>
      <c r="P39" t="s">
        <v>32</v>
      </c>
    </row>
    <row r="40" spans="1:16" x14ac:dyDescent="0.25">
      <c r="A40" s="1">
        <v>39</v>
      </c>
      <c r="B40" s="2">
        <v>26.95</v>
      </c>
      <c r="C40" s="2">
        <v>19.05</v>
      </c>
      <c r="D40" s="1" t="s">
        <v>7</v>
      </c>
      <c r="E40" s="1">
        <f t="shared" si="0"/>
        <v>0.05</v>
      </c>
      <c r="F40" s="7">
        <v>0.33</v>
      </c>
      <c r="G40" s="7">
        <v>0.13300000000000001</v>
      </c>
      <c r="H40" s="7">
        <f t="shared" si="1"/>
        <v>0.19700000000000001</v>
      </c>
      <c r="I40" s="1" t="s">
        <v>10</v>
      </c>
      <c r="J40" s="1">
        <f t="shared" si="2"/>
        <v>1E-3</v>
      </c>
      <c r="K40" s="8">
        <v>28.2</v>
      </c>
      <c r="L40" s="1" t="s">
        <v>11</v>
      </c>
      <c r="M40" s="1">
        <f t="shared" si="3"/>
        <v>0.1</v>
      </c>
      <c r="N40" s="3">
        <f t="shared" si="4"/>
        <v>2202.379836990418</v>
      </c>
      <c r="O40" s="1" t="s">
        <v>29</v>
      </c>
    </row>
    <row r="41" spans="1:16" x14ac:dyDescent="0.25">
      <c r="A41" s="1">
        <v>40</v>
      </c>
      <c r="B41" s="2">
        <v>26.95</v>
      </c>
      <c r="C41" s="2">
        <v>18.7</v>
      </c>
      <c r="D41" s="1" t="s">
        <v>7</v>
      </c>
      <c r="E41" s="1">
        <f t="shared" si="0"/>
        <v>0.05</v>
      </c>
      <c r="F41" s="7">
        <v>0.33800000000000002</v>
      </c>
      <c r="G41" s="7">
        <v>0.13200000000000001</v>
      </c>
      <c r="H41" s="7">
        <f t="shared" si="1"/>
        <v>0.20600000000000002</v>
      </c>
      <c r="I41" s="1" t="s">
        <v>10</v>
      </c>
      <c r="J41" s="1">
        <f t="shared" si="2"/>
        <v>1E-3</v>
      </c>
      <c r="K41" s="8">
        <v>23.6</v>
      </c>
      <c r="L41" s="1" t="s">
        <v>11</v>
      </c>
      <c r="M41" s="1">
        <f t="shared" si="3"/>
        <v>0.1</v>
      </c>
      <c r="N41" s="3">
        <f t="shared" si="4"/>
        <v>2000.1513433074517</v>
      </c>
      <c r="O41" s="1" t="s">
        <v>33</v>
      </c>
      <c r="P41" t="s">
        <v>32</v>
      </c>
    </row>
    <row r="42" spans="1:16" x14ac:dyDescent="0.25">
      <c r="A42" s="1">
        <v>41</v>
      </c>
      <c r="B42" s="2">
        <v>26.95</v>
      </c>
      <c r="C42" s="2">
        <v>18.7</v>
      </c>
      <c r="D42" s="1" t="s">
        <v>7</v>
      </c>
      <c r="E42" s="1">
        <f t="shared" si="0"/>
        <v>0.05</v>
      </c>
      <c r="F42" s="7">
        <v>0.34300000000000003</v>
      </c>
      <c r="G42" s="7">
        <v>0.13400000000000001</v>
      </c>
      <c r="H42" s="7">
        <f t="shared" si="1"/>
        <v>0.20900000000000002</v>
      </c>
      <c r="I42" s="1" t="s">
        <v>10</v>
      </c>
      <c r="J42" s="1">
        <f t="shared" si="2"/>
        <v>1E-3</v>
      </c>
      <c r="K42" s="8">
        <v>24.6</v>
      </c>
      <c r="L42" s="1" t="s">
        <v>11</v>
      </c>
      <c r="M42" s="1">
        <f t="shared" si="3"/>
        <v>0.1</v>
      </c>
      <c r="N42" s="3">
        <f t="shared" si="4"/>
        <v>2115.2661914762489</v>
      </c>
      <c r="O42" s="1" t="s">
        <v>33</v>
      </c>
      <c r="P42" t="s">
        <v>32</v>
      </c>
    </row>
    <row r="43" spans="1:16" x14ac:dyDescent="0.25">
      <c r="A43" s="1">
        <v>42</v>
      </c>
      <c r="B43" s="2">
        <v>26.95</v>
      </c>
      <c r="C43" s="2">
        <v>19.100000000000001</v>
      </c>
      <c r="D43" s="1" t="s">
        <v>7</v>
      </c>
      <c r="E43" s="1">
        <f t="shared" si="0"/>
        <v>0.05</v>
      </c>
      <c r="F43" s="7">
        <v>0.33200000000000002</v>
      </c>
      <c r="G43" s="7">
        <v>0.13100000000000001</v>
      </c>
      <c r="H43" s="7">
        <f t="shared" si="1"/>
        <v>0.20100000000000001</v>
      </c>
      <c r="I43" s="1" t="s">
        <v>10</v>
      </c>
      <c r="J43" s="1">
        <f t="shared" si="2"/>
        <v>1E-3</v>
      </c>
      <c r="K43" s="8">
        <v>27.6</v>
      </c>
      <c r="L43" s="1" t="s">
        <v>11</v>
      </c>
      <c r="M43" s="1">
        <f t="shared" si="3"/>
        <v>0.1</v>
      </c>
      <c r="N43" s="3">
        <f t="shared" si="4"/>
        <v>2187.7880857639511</v>
      </c>
      <c r="O43" s="1" t="s">
        <v>33</v>
      </c>
      <c r="P43" t="s">
        <v>32</v>
      </c>
    </row>
    <row r="44" spans="1:16" x14ac:dyDescent="0.25">
      <c r="A44" s="1">
        <v>43</v>
      </c>
      <c r="B44" s="2">
        <v>26.95</v>
      </c>
      <c r="C44" s="2">
        <v>19.100000000000001</v>
      </c>
      <c r="D44" s="1" t="s">
        <v>7</v>
      </c>
      <c r="E44" s="1">
        <f t="shared" si="0"/>
        <v>0.05</v>
      </c>
      <c r="F44" s="7">
        <v>0.32800000000000001</v>
      </c>
      <c r="G44" s="7">
        <v>0.13400000000000001</v>
      </c>
      <c r="H44" s="7">
        <f t="shared" si="1"/>
        <v>0.19400000000000001</v>
      </c>
      <c r="I44" s="1" t="s">
        <v>10</v>
      </c>
      <c r="J44" s="1">
        <f t="shared" si="2"/>
        <v>1E-3</v>
      </c>
      <c r="K44" s="8">
        <v>26.5</v>
      </c>
      <c r="L44" s="1" t="s">
        <v>11</v>
      </c>
      <c r="M44" s="1">
        <f t="shared" si="3"/>
        <v>0.1</v>
      </c>
      <c r="N44" s="3">
        <f t="shared" si="4"/>
        <v>2027.4386309237277</v>
      </c>
      <c r="O44" s="1" t="s">
        <v>33</v>
      </c>
      <c r="P44" t="s">
        <v>32</v>
      </c>
    </row>
    <row r="45" spans="1:16" x14ac:dyDescent="0.25">
      <c r="A45" s="1">
        <v>44</v>
      </c>
      <c r="B45" s="2">
        <v>26.95</v>
      </c>
      <c r="C45" s="2">
        <v>18.55</v>
      </c>
      <c r="D45" s="1" t="s">
        <v>7</v>
      </c>
      <c r="E45" s="1">
        <f t="shared" si="0"/>
        <v>0.05</v>
      </c>
      <c r="F45" s="7">
        <v>0.33500000000000002</v>
      </c>
      <c r="G45" s="7">
        <v>0.13</v>
      </c>
      <c r="H45" s="7">
        <f t="shared" si="1"/>
        <v>0.20500000000000002</v>
      </c>
      <c r="I45" s="1" t="s">
        <v>10</v>
      </c>
      <c r="J45" s="1">
        <f t="shared" si="2"/>
        <v>1E-3</v>
      </c>
      <c r="K45" s="8">
        <v>23</v>
      </c>
      <c r="L45" s="1" t="s">
        <v>11</v>
      </c>
      <c r="M45" s="1">
        <f t="shared" si="3"/>
        <v>0.1</v>
      </c>
      <c r="N45" s="3">
        <f t="shared" si="4"/>
        <v>1971.3362912209698</v>
      </c>
      <c r="O45" s="1" t="s">
        <v>29</v>
      </c>
    </row>
    <row r="46" spans="1:16" x14ac:dyDescent="0.25">
      <c r="A46" s="1">
        <v>45</v>
      </c>
      <c r="B46" s="2">
        <v>26.95</v>
      </c>
      <c r="C46" s="2">
        <v>18.899999999999999</v>
      </c>
      <c r="D46" s="1" t="s">
        <v>7</v>
      </c>
      <c r="E46" s="1">
        <f t="shared" si="0"/>
        <v>0.05</v>
      </c>
      <c r="F46" s="7">
        <v>0.32700000000000001</v>
      </c>
      <c r="G46" s="7">
        <v>0.13100000000000001</v>
      </c>
      <c r="H46" s="7">
        <f t="shared" si="1"/>
        <v>0.19600000000000001</v>
      </c>
      <c r="I46" s="1" t="s">
        <v>10</v>
      </c>
      <c r="J46" s="1">
        <f t="shared" si="2"/>
        <v>1E-3</v>
      </c>
      <c r="K46" s="8">
        <v>26.7</v>
      </c>
      <c r="L46" s="1" t="s">
        <v>11</v>
      </c>
      <c r="M46" s="1">
        <f t="shared" si="3"/>
        <v>0.1</v>
      </c>
      <c r="N46" s="3">
        <f t="shared" si="4"/>
        <v>2107.7086230300065</v>
      </c>
      <c r="O46" s="1" t="s">
        <v>33</v>
      </c>
      <c r="P46" t="s">
        <v>32</v>
      </c>
    </row>
    <row r="47" spans="1:16" x14ac:dyDescent="0.25">
      <c r="A47" s="1">
        <v>46</v>
      </c>
      <c r="B47" s="2">
        <v>26.95</v>
      </c>
      <c r="C47" s="2">
        <v>18.75</v>
      </c>
      <c r="D47" s="1" t="s">
        <v>7</v>
      </c>
      <c r="E47" s="1">
        <f t="shared" si="0"/>
        <v>0.05</v>
      </c>
      <c r="F47" s="7">
        <v>0.33900000000000002</v>
      </c>
      <c r="G47" s="7">
        <v>0.13300000000000001</v>
      </c>
      <c r="H47" s="7">
        <f t="shared" si="1"/>
        <v>0.20600000000000002</v>
      </c>
      <c r="I47" s="1" t="s">
        <v>10</v>
      </c>
      <c r="J47" s="1">
        <f t="shared" si="2"/>
        <v>1E-3</v>
      </c>
      <c r="K47" s="8">
        <v>20.7</v>
      </c>
      <c r="L47" s="1" t="s">
        <v>11</v>
      </c>
      <c r="M47" s="1">
        <f t="shared" si="3"/>
        <v>0.1</v>
      </c>
      <c r="N47" s="3">
        <f t="shared" si="4"/>
        <v>1745.0258695102054</v>
      </c>
      <c r="O47" s="1" t="s">
        <v>33</v>
      </c>
      <c r="P47" t="s">
        <v>32</v>
      </c>
    </row>
    <row r="48" spans="1:16" x14ac:dyDescent="0.25">
      <c r="A48" s="1">
        <v>47</v>
      </c>
      <c r="B48" s="2">
        <v>26.95</v>
      </c>
      <c r="C48" s="2">
        <v>19</v>
      </c>
      <c r="D48" s="1" t="s">
        <v>7</v>
      </c>
      <c r="E48" s="1">
        <f t="shared" si="0"/>
        <v>0.05</v>
      </c>
      <c r="F48" s="7">
        <v>0.32</v>
      </c>
      <c r="G48" s="7">
        <v>0.128</v>
      </c>
      <c r="H48" s="7">
        <f t="shared" si="1"/>
        <v>0.192</v>
      </c>
      <c r="I48" s="1" t="s">
        <v>10</v>
      </c>
      <c r="J48" s="1">
        <f t="shared" si="2"/>
        <v>1E-3</v>
      </c>
      <c r="K48" s="8">
        <v>27.6</v>
      </c>
      <c r="L48" s="1" t="s">
        <v>11</v>
      </c>
      <c r="M48" s="1">
        <f t="shared" si="3"/>
        <v>0.1</v>
      </c>
      <c r="N48" s="3">
        <f t="shared" si="4"/>
        <v>2111.8834985869689</v>
      </c>
      <c r="O48" s="1" t="s">
        <v>29</v>
      </c>
    </row>
    <row r="49" spans="1:16" x14ac:dyDescent="0.25">
      <c r="A49" s="1">
        <v>48</v>
      </c>
      <c r="B49" s="2">
        <v>26.95</v>
      </c>
      <c r="C49" s="2">
        <v>18.75</v>
      </c>
      <c r="D49" s="1" t="s">
        <v>7</v>
      </c>
      <c r="E49" s="1">
        <f t="shared" si="0"/>
        <v>0.05</v>
      </c>
      <c r="F49" s="7">
        <v>0.33800000000000002</v>
      </c>
      <c r="G49" s="7">
        <v>0.13200000000000001</v>
      </c>
      <c r="H49" s="7">
        <f t="shared" si="1"/>
        <v>0.20600000000000002</v>
      </c>
      <c r="I49" s="1" t="s">
        <v>10</v>
      </c>
      <c r="J49" s="1">
        <f t="shared" si="2"/>
        <v>1E-3</v>
      </c>
      <c r="K49" s="8">
        <v>23.6</v>
      </c>
      <c r="L49" s="1" t="s">
        <v>11</v>
      </c>
      <c r="M49" s="1">
        <f t="shared" si="3"/>
        <v>0.1</v>
      </c>
      <c r="N49" s="3">
        <f t="shared" si="4"/>
        <v>1989.4980927749205</v>
      </c>
      <c r="O49" s="1" t="s">
        <v>33</v>
      </c>
      <c r="P49" t="s">
        <v>32</v>
      </c>
    </row>
    <row r="50" spans="1:16" x14ac:dyDescent="0.25">
      <c r="A50" s="1">
        <v>49</v>
      </c>
      <c r="B50" s="2">
        <v>26.95</v>
      </c>
      <c r="C50" s="2">
        <v>18.7</v>
      </c>
      <c r="D50" s="1" t="s">
        <v>7</v>
      </c>
      <c r="E50" s="1">
        <f t="shared" si="0"/>
        <v>0.05</v>
      </c>
      <c r="F50" s="7">
        <v>0.35299999999999998</v>
      </c>
      <c r="G50" s="7">
        <v>0.14099999999999999</v>
      </c>
      <c r="H50" s="7">
        <f>IF(F50-G50&gt;0,F50-G50,"")</f>
        <v>0.21199999999999999</v>
      </c>
      <c r="I50" s="1" t="s">
        <v>10</v>
      </c>
      <c r="J50" s="1">
        <f t="shared" si="2"/>
        <v>1E-3</v>
      </c>
      <c r="K50" s="8">
        <v>24.4</v>
      </c>
      <c r="L50" s="1" t="s">
        <v>11</v>
      </c>
      <c r="M50" s="1">
        <f t="shared" si="3"/>
        <v>0.1</v>
      </c>
      <c r="N50" s="3">
        <f t="shared" si="4"/>
        <v>2128.1847269748196</v>
      </c>
      <c r="O50" s="1" t="s">
        <v>34</v>
      </c>
      <c r="P50" t="s">
        <v>32</v>
      </c>
    </row>
    <row r="51" spans="1:16" x14ac:dyDescent="0.25">
      <c r="A51" s="1">
        <v>50</v>
      </c>
      <c r="B51" s="2">
        <v>26.95</v>
      </c>
      <c r="C51" s="2">
        <v>19</v>
      </c>
      <c r="D51" s="1" t="s">
        <v>7</v>
      </c>
      <c r="E51" s="1">
        <f t="shared" si="0"/>
        <v>0.05</v>
      </c>
      <c r="F51" s="7">
        <v>0.32800000000000001</v>
      </c>
      <c r="G51" s="7">
        <v>0.128</v>
      </c>
      <c r="H51" s="7">
        <f t="shared" si="1"/>
        <v>0.2</v>
      </c>
      <c r="I51" s="1" t="s">
        <v>10</v>
      </c>
      <c r="J51" s="1">
        <f t="shared" si="2"/>
        <v>1E-3</v>
      </c>
      <c r="K51" s="8">
        <v>24</v>
      </c>
      <c r="L51" s="1" t="s">
        <v>11</v>
      </c>
      <c r="M51" s="1">
        <f t="shared" si="3"/>
        <v>0.1</v>
      </c>
      <c r="N51" s="3">
        <f t="shared" si="4"/>
        <v>1912.9379516186311</v>
      </c>
      <c r="O51" s="1" t="s">
        <v>33</v>
      </c>
      <c r="P51" t="s">
        <v>32</v>
      </c>
    </row>
    <row r="52" spans="1:16" x14ac:dyDescent="0.25">
      <c r="A52" s="1" t="s">
        <v>31</v>
      </c>
      <c r="B52" s="4" t="str">
        <f>_xlfn.CONCAT(TEXT(ROUND(AVERAGE(B2:B51),1),"00.0"), " ± ", TEXT(ROUND(_xlfn.STDEV.P(B2:B51),1),"0.0"))</f>
        <v>27.0 ± 0.0</v>
      </c>
      <c r="C52" s="4" t="str">
        <f>_xlfn.CONCAT(TEXT(ROUND(AVERAGE(C2:C51),1),"00.0"), " ± ", TEXT(ROUND(_xlfn.STDEV.P(C2:C51),1),"0.0"))</f>
        <v>18.9 ± 0.2</v>
      </c>
      <c r="D52" s="1" t="s">
        <v>29</v>
      </c>
      <c r="E52" s="1" t="s">
        <v>29</v>
      </c>
      <c r="F52" s="4" t="str">
        <f>_xlfn.CONCAT(TEXT(ROUND(AVERAGE(F2:F51),3),"0.00"), " ± ", TEXT(ROUND(_xlfn.STDEV.P(F2:F51),3),"0.00"))</f>
        <v>0.34 ± 0.01</v>
      </c>
      <c r="G52" s="4" t="str">
        <f>_xlfn.CONCAT(TEXT(ROUND(AVERAGE(G2:G51),3),"0.00"), " ± ", TEXT(ROUND(_xlfn.STDEV.P(G2:G51),3),"0.00"))</f>
        <v>0.13 ± 0.01</v>
      </c>
      <c r="H52" s="4" t="str">
        <f>_xlfn.CONCAT(TEXT(ROUND(AVERAGE(H2:H51),3),"0.00"), " ± ", TEXT(ROUND(_xlfn.STDEV.P(H2:H51),3),"0.00"))</f>
        <v>0.20 ± 0.01</v>
      </c>
      <c r="I52" s="1" t="s">
        <v>29</v>
      </c>
      <c r="J52" s="1" t="s">
        <v>29</v>
      </c>
      <c r="K52" s="4" t="str">
        <f>_xlfn.CONCAT(TEXT(ROUND(AVERAGE(K2:K51),1),"00.0"), " ± ", TEXT(ROUND(_xlfn.STDEV.P(K2:K51),1),"0.0"))</f>
        <v>25.2 ± 2.2</v>
      </c>
      <c r="L52" s="1" t="s">
        <v>29</v>
      </c>
      <c r="M52" s="1" t="s">
        <v>29</v>
      </c>
      <c r="N52" s="3" t="str">
        <f>_xlfn.CONCAT(ROUND(AVERAGE(N2:N51), 0), " ± ", ROUND(_xlfn.STDEV.P(N2:N51),0))</f>
        <v>2048 ± 119</v>
      </c>
      <c r="O52" s="1" t="s">
        <v>29</v>
      </c>
    </row>
    <row r="53" spans="1:16" x14ac:dyDescent="0.25">
      <c r="A53" s="1" t="s">
        <v>2</v>
      </c>
      <c r="B53" s="1" t="s">
        <v>29</v>
      </c>
      <c r="C53" s="1" t="s">
        <v>29</v>
      </c>
      <c r="D53" s="1" t="s">
        <v>29</v>
      </c>
      <c r="E53" s="1" t="s">
        <v>29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29</v>
      </c>
      <c r="K53" s="1">
        <f>SUM(K2:K51)</f>
        <v>1261.8</v>
      </c>
      <c r="L53" s="1" t="s">
        <v>29</v>
      </c>
      <c r="M53" s="1" t="s">
        <v>29</v>
      </c>
      <c r="N53" s="3" t="s">
        <v>29</v>
      </c>
      <c r="O53" s="1" t="s">
        <v>29</v>
      </c>
    </row>
  </sheetData>
  <mergeCells count="8">
    <mergeCell ref="R7:U7"/>
    <mergeCell ref="R8:U8"/>
    <mergeCell ref="Q1:U1"/>
    <mergeCell ref="R2:U2"/>
    <mergeCell ref="R3:U3"/>
    <mergeCell ref="R4:U4"/>
    <mergeCell ref="R5:U5"/>
    <mergeCell ref="R6:U6"/>
  </mergeCells>
  <phoneticPr fontId="1" type="noConversion"/>
  <dataValidations count="1">
    <dataValidation type="list" allowBlank="1" showInputMessage="1" showErrorMessage="1" sqref="L2:L51 I2:I51 D2:D51" xr:uid="{4864A124-8898-4AE1-B25B-9C968D83E295}">
      <formula1>"caliper,micrometer,multimeter"</formula1>
    </dataValidation>
  </dataValidations>
  <pageMargins left="0.51181102362204722" right="0.51181102362204722" top="0.78740157480314965" bottom="0.78740157480314965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Isolated piezos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Pereira</dc:creator>
  <cp:lastModifiedBy>João Pereira</cp:lastModifiedBy>
  <cp:lastPrinted>2026-07-20T02:24:48Z</cp:lastPrinted>
  <dcterms:created xsi:type="dcterms:W3CDTF">2026-07-18T22:17:55Z</dcterms:created>
  <dcterms:modified xsi:type="dcterms:W3CDTF">2026-07-20T02:25:22Z</dcterms:modified>
</cp:coreProperties>
</file>